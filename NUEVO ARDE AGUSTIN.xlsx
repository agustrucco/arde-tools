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ENERO 26" sheetId="2" state="visible" r:id="rId2"/>
    <sheet name="TAREAS" sheetId="3" state="visible" r:id="rId3"/>
    <sheet name="ENCAR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8" customWidth="1" min="10" max="10"/>
  </cols>
  <sheetData>
    <row r="1">
      <c r="A1" s="1" t="inlineStr">
        <is>
          <t>#</t>
        </is>
      </c>
      <c r="B1" s="1" t="inlineStr">
        <is>
          <t>PIEZA</t>
        </is>
      </c>
      <c r="C1" s="1" t="inlineStr">
        <is>
          <t>MODELO</t>
        </is>
      </c>
      <c r="D1" s="1" t="inlineStr">
        <is>
          <t>METAL</t>
        </is>
      </c>
      <c r="E1" s="1" t="inlineStr">
        <is>
          <t>STOCK INICIAL</t>
        </is>
      </c>
      <c r="F1" s="1" t="inlineStr">
        <is>
          <t>VENDIDOS</t>
        </is>
      </c>
      <c r="G1" s="1" t="inlineStr">
        <is>
          <t>PERDIDOS</t>
        </is>
      </c>
      <c r="H1" s="1" t="inlineStr">
        <is>
          <t>TALLER</t>
        </is>
      </c>
      <c r="I1" s="1" t="inlineStr">
        <is>
          <t>STOCK LOCAL</t>
        </is>
      </c>
      <c r="J1" s="1" t="inlineStr">
        <is>
          <t>ESTADO</t>
        </is>
      </c>
      <c r="K1" s="1" t="inlineStr">
        <is>
          <t>PRECIO BASE</t>
        </is>
      </c>
    </row>
    <row r="2">
      <c r="A2" t="n">
        <v>1</v>
      </c>
      <c r="B2" t="inlineStr">
        <is>
          <t>ANILLO</t>
        </is>
      </c>
      <c r="C2" t="inlineStr">
        <is>
          <t>LUNA</t>
        </is>
      </c>
      <c r="D2" t="inlineStr">
        <is>
          <t>ALPACA</t>
        </is>
      </c>
      <c r="E2" t="n">
        <v>20</v>
      </c>
      <c r="F2">
        <f>COUNTIFS('ENERO 26'!D:D,B2,'ENERO 26'!E:E,C2,'ENERO 26'!F:F,D2,'ENERO 26'!J:J,"SI")</f>
        <v/>
      </c>
      <c r="G2" t="n">
        <v>0</v>
      </c>
      <c r="H2" t="n">
        <v>0</v>
      </c>
      <c r="I2">
        <f>IF(E2="","",E2-F2-IF(G2="",0,G2)-IF(H2="",0,H2))</f>
        <v/>
      </c>
      <c r="J2" s="2" t="inlineStr">
        <is>
          <t>OK</t>
        </is>
      </c>
      <c r="K2" t="n">
        <v>2500</v>
      </c>
    </row>
    <row r="3">
      <c r="A3" t="n">
        <v>2</v>
      </c>
      <c r="B3" t="inlineStr">
        <is>
          <t>ANILLO</t>
        </is>
      </c>
      <c r="C3" t="inlineStr">
        <is>
          <t>LUNA</t>
        </is>
      </c>
      <c r="D3" t="inlineStr">
        <is>
          <t>BRONCE</t>
        </is>
      </c>
      <c r="E3" t="n">
        <v>15</v>
      </c>
      <c r="F3">
        <f>COUNTIFS('ENERO 26'!D:D,B3,'ENERO 26'!E:E,C3,'ENERO 26'!F:F,D3,'ENERO 26'!J:J,"SI")</f>
        <v/>
      </c>
      <c r="G3" t="n">
        <v>0</v>
      </c>
      <c r="H3" t="n">
        <v>0</v>
      </c>
      <c r="I3">
        <f>IF(E3="","",E3-F3-IF(G3="",0,G3)-IF(H3="",0,H3))</f>
        <v/>
      </c>
      <c r="J3" s="2" t="inlineStr">
        <is>
          <t>OK</t>
        </is>
      </c>
      <c r="K3" t="n">
        <v>2500</v>
      </c>
    </row>
    <row r="4">
      <c r="A4" t="n">
        <v>3</v>
      </c>
      <c r="B4" t="inlineStr">
        <is>
          <t>ARO</t>
        </is>
      </c>
      <c r="C4" t="inlineStr">
        <is>
          <t>SOL</t>
        </is>
      </c>
      <c r="D4" t="inlineStr">
        <is>
          <t>ALPACA</t>
        </is>
      </c>
      <c r="E4" t="n">
        <v>30</v>
      </c>
      <c r="F4">
        <f>COUNTIFS('ENERO 26'!D:D,B4,'ENERO 26'!E:E,C4,'ENERO 26'!F:F,D4,'ENERO 26'!J:J,"SI")</f>
        <v/>
      </c>
      <c r="G4" t="n">
        <v>0</v>
      </c>
      <c r="H4" t="n">
        <v>0</v>
      </c>
      <c r="I4">
        <f>IF(E4="","",E4-F4-IF(G4="",0,G4)-IF(H4="",0,H4))</f>
        <v/>
      </c>
      <c r="J4" s="2" t="inlineStr">
        <is>
          <t>OK</t>
        </is>
      </c>
      <c r="K4" t="n">
        <v>2500</v>
      </c>
    </row>
    <row r="5">
      <c r="A5" t="n">
        <v>4</v>
      </c>
      <c r="B5" t="inlineStr">
        <is>
          <t>ARO</t>
        </is>
      </c>
      <c r="C5" t="inlineStr">
        <is>
          <t>SOL</t>
        </is>
      </c>
      <c r="D5" t="inlineStr">
        <is>
          <t>BRONCE</t>
        </is>
      </c>
      <c r="E5" t="n">
        <v>25</v>
      </c>
      <c r="F5">
        <f>COUNTIFS('ENERO 26'!D:D,B5,'ENERO 26'!E:E,C5,'ENERO 26'!F:F,D5,'ENERO 26'!J:J,"SI")</f>
        <v/>
      </c>
      <c r="G5" t="n">
        <v>0</v>
      </c>
      <c r="H5" t="n">
        <v>0</v>
      </c>
      <c r="I5">
        <f>IF(E5="","",E5-F5-IF(G5="",0,G5)-IF(H5="",0,H5))</f>
        <v/>
      </c>
      <c r="J5" s="2" t="inlineStr">
        <is>
          <t>OK</t>
        </is>
      </c>
      <c r="K5" t="n">
        <v>2500</v>
      </c>
    </row>
    <row r="6">
      <c r="A6" t="n">
        <v>5</v>
      </c>
      <c r="B6" t="inlineStr">
        <is>
          <t>DIJE</t>
        </is>
      </c>
      <c r="C6" t="inlineStr">
        <is>
          <t>ESTRELLA</t>
        </is>
      </c>
      <c r="D6" t="inlineStr">
        <is>
          <t>ALPACA</t>
        </is>
      </c>
      <c r="E6" t="n">
        <v>40</v>
      </c>
      <c r="F6">
        <f>COUNTIFS('ENERO 26'!D:D,B6,'ENERO 26'!E:E,C6,'ENERO 26'!F:F,D6,'ENERO 26'!J:J,"SI")</f>
        <v/>
      </c>
      <c r="G6" t="n">
        <v>0</v>
      </c>
      <c r="H6" t="n">
        <v>0</v>
      </c>
      <c r="I6">
        <f>IF(E6="","",E6-F6-IF(G6="",0,G6)-IF(H6="",0,H6))</f>
        <v/>
      </c>
      <c r="J6" s="2" t="inlineStr">
        <is>
          <t>OK</t>
        </is>
      </c>
      <c r="K6" t="n">
        <v>2500</v>
      </c>
    </row>
    <row r="7">
      <c r="A7" t="n">
        <v>6</v>
      </c>
      <c r="B7" t="inlineStr">
        <is>
          <t>COLLAR</t>
        </is>
      </c>
      <c r="C7" t="inlineStr">
        <is>
          <t>CADENA FINA</t>
        </is>
      </c>
      <c r="D7" t="inlineStr">
        <is>
          <t>ALPACA</t>
        </is>
      </c>
      <c r="E7" t="n">
        <v>10</v>
      </c>
      <c r="F7">
        <f>COUNTIFS('ENERO 26'!D:D,B7,'ENERO 26'!E:E,C7,'ENERO 26'!F:F,D7,'ENERO 26'!J:J,"SI")</f>
        <v/>
      </c>
      <c r="G7" t="n">
        <v>1</v>
      </c>
      <c r="H7" t="n">
        <v>0</v>
      </c>
      <c r="I7">
        <f>IF(E7="","",E7-F7-IF(G7="",0,G7)-IF(H7="",0,H7))</f>
        <v/>
      </c>
      <c r="J7" s="2" t="inlineStr">
        <is>
          <t>OK</t>
        </is>
      </c>
      <c r="K7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7" max="7"/>
    <col width="13" customWidth="1" min="11" max="11"/>
    <col width="16" customWidth="1" min="13" max="13"/>
  </cols>
  <sheetData>
    <row r="1">
      <c r="A1" s="1" t="inlineStr">
        <is>
          <t>F. PEDIDO</t>
        </is>
      </c>
      <c r="B1" s="1" t="inlineStr">
        <is>
          <t>ORDEN</t>
        </is>
      </c>
      <c r="C1" s="1" t="inlineStr">
        <is>
          <t>PDV</t>
        </is>
      </c>
      <c r="D1" s="1" t="inlineStr">
        <is>
          <t>PIEZA</t>
        </is>
      </c>
      <c r="E1" s="1" t="inlineStr">
        <is>
          <t>MODELO</t>
        </is>
      </c>
      <c r="F1" s="1" t="inlineStr">
        <is>
          <t>METAL</t>
        </is>
      </c>
      <c r="G1" s="1" t="inlineStr">
        <is>
          <t>F. PAGO</t>
        </is>
      </c>
      <c r="H1" s="1" t="inlineStr">
        <is>
          <t>PRECIO</t>
        </is>
      </c>
      <c r="I1" s="1" t="inlineStr">
        <is>
          <t>FORMA PAGO</t>
        </is>
      </c>
      <c r="J1" s="1" t="inlineStr">
        <is>
          <t>DESC STOCK</t>
        </is>
      </c>
      <c r="K1" s="1" t="inlineStr">
        <is>
          <t>F. ENTREGA</t>
        </is>
      </c>
      <c r="L1" s="1" t="inlineStr">
        <is>
          <t>ESTADO</t>
        </is>
      </c>
      <c r="M1" s="1" t="inlineStr">
        <is>
          <t>CLIENTA</t>
        </is>
      </c>
      <c r="N1" s="1" t="inlineStr">
        <is>
          <t>CELU</t>
        </is>
      </c>
      <c r="O1" s="1" t="inlineStr">
        <is>
          <t>VENDEDORA</t>
        </is>
      </c>
    </row>
    <row r="2">
      <c r="A2" t="inlineStr">
        <is>
          <t>2026-01-05</t>
        </is>
      </c>
      <c r="B2" t="inlineStr">
        <is>
          <t>#001</t>
        </is>
      </c>
      <c r="C2" t="inlineStr">
        <is>
          <t>LOCAL</t>
        </is>
      </c>
      <c r="D2" t="inlineStr">
        <is>
          <t>ANILLO</t>
        </is>
      </c>
      <c r="E2" t="inlineStr">
        <is>
          <t>LUNA</t>
        </is>
      </c>
      <c r="F2" t="inlineStr">
        <is>
          <t>ALPACA</t>
        </is>
      </c>
      <c r="G2" t="inlineStr">
        <is>
          <t>2026-01-05</t>
        </is>
      </c>
      <c r="H2" t="n">
        <v>2500</v>
      </c>
      <c r="I2" t="inlineStr">
        <is>
          <t>GETNET</t>
        </is>
      </c>
      <c r="J2" t="inlineStr">
        <is>
          <t>SI</t>
        </is>
      </c>
      <c r="K2" t="inlineStr">
        <is>
          <t>2026-01-05</t>
        </is>
      </c>
      <c r="L2" t="inlineStr">
        <is>
          <t>ARCHIVADO</t>
        </is>
      </c>
      <c r="M2" t="inlineStr">
        <is>
          <t>María García</t>
        </is>
      </c>
      <c r="N2" t="inlineStr">
        <is>
          <t>1155550001</t>
        </is>
      </c>
      <c r="O2" t="inlineStr">
        <is>
          <t>SOL</t>
        </is>
      </c>
    </row>
    <row r="3">
      <c r="A3" t="inlineStr">
        <is>
          <t>2026-01-08</t>
        </is>
      </c>
      <c r="B3" t="inlineStr">
        <is>
          <t>#002</t>
        </is>
      </c>
      <c r="C3" t="inlineStr">
        <is>
          <t>INSTAGRAM</t>
        </is>
      </c>
      <c r="D3" t="inlineStr">
        <is>
          <t>ARO</t>
        </is>
      </c>
      <c r="E3" t="inlineStr">
        <is>
          <t>SOL</t>
        </is>
      </c>
      <c r="F3" t="inlineStr">
        <is>
          <t>BRONCE</t>
        </is>
      </c>
      <c r="G3" t="inlineStr">
        <is>
          <t>2026-01-08</t>
        </is>
      </c>
      <c r="H3" t="n">
        <v>2000</v>
      </c>
      <c r="I3" t="inlineStr">
        <is>
          <t>MERCADO PAGO</t>
        </is>
      </c>
      <c r="J3" t="inlineStr">
        <is>
          <t>SI</t>
        </is>
      </c>
      <c r="K3" t="inlineStr">
        <is>
          <t>2026-01-09</t>
        </is>
      </c>
      <c r="L3" t="inlineStr">
        <is>
          <t>ARCHIVADO</t>
        </is>
      </c>
      <c r="M3" t="inlineStr">
        <is>
          <t>Laura Pérez</t>
        </is>
      </c>
      <c r="N3" t="inlineStr">
        <is>
          <t>1155550002</t>
        </is>
      </c>
      <c r="O3" t="inlineStr">
        <is>
          <t>PAU</t>
        </is>
      </c>
    </row>
    <row r="4">
      <c r="A4" t="inlineStr">
        <is>
          <t>2026-01-12</t>
        </is>
      </c>
      <c r="B4" t="inlineStr">
        <is>
          <t>#003</t>
        </is>
      </c>
      <c r="C4" t="inlineStr">
        <is>
          <t>ECOMMERCE</t>
        </is>
      </c>
      <c r="D4" t="inlineStr">
        <is>
          <t>DIJE</t>
        </is>
      </c>
      <c r="E4" t="inlineStr">
        <is>
          <t>ESTRELLA</t>
        </is>
      </c>
      <c r="F4" t="inlineStr">
        <is>
          <t>ALPACA</t>
        </is>
      </c>
      <c r="G4" t="inlineStr">
        <is>
          <t>2026-01-12</t>
        </is>
      </c>
      <c r="H4" t="n">
        <v>1800</v>
      </c>
      <c r="I4" t="inlineStr">
        <is>
          <t>TRANSFERENCIA</t>
        </is>
      </c>
      <c r="J4" t="inlineStr">
        <is>
          <t>SI</t>
        </is>
      </c>
      <c r="K4" t="inlineStr">
        <is>
          <t>2026-01-14</t>
        </is>
      </c>
      <c r="L4" t="inlineStr">
        <is>
          <t>ARCHIVADO</t>
        </is>
      </c>
      <c r="M4" t="inlineStr">
        <is>
          <t>Ana Rodríguez</t>
        </is>
      </c>
      <c r="N4" t="inlineStr">
        <is>
          <t>1155550003</t>
        </is>
      </c>
      <c r="O4" t="inlineStr">
        <is>
          <t>SOL</t>
        </is>
      </c>
    </row>
    <row r="5">
      <c r="A5" t="inlineStr">
        <is>
          <t>2026-01-20</t>
        </is>
      </c>
      <c r="B5" t="inlineStr">
        <is>
          <t>-</t>
        </is>
      </c>
      <c r="C5" t="inlineStr">
        <is>
          <t>LOCAL</t>
        </is>
      </c>
      <c r="D5" t="inlineStr">
        <is>
          <t>ANILLO</t>
        </is>
      </c>
      <c r="E5" t="inlineStr">
        <is>
          <t>LUNA</t>
        </is>
      </c>
      <c r="F5" t="inlineStr">
        <is>
          <t>BRONCE</t>
        </is>
      </c>
      <c r="G5" t="inlineStr">
        <is>
          <t>2026-01-20</t>
        </is>
      </c>
      <c r="H5" t="n">
        <v>2000</v>
      </c>
      <c r="I5" t="inlineStr">
        <is>
          <t>EFECTIVO</t>
        </is>
      </c>
      <c r="J5" t="inlineStr">
        <is>
          <t>SI</t>
        </is>
      </c>
      <c r="K5" t="inlineStr">
        <is>
          <t>2026-01-20</t>
        </is>
      </c>
      <c r="L5" t="inlineStr">
        <is>
          <t>ARCHIVADO</t>
        </is>
      </c>
      <c r="M5" t="inlineStr">
        <is>
          <t>Camila López</t>
        </is>
      </c>
      <c r="N5" t="inlineStr">
        <is>
          <t>1155550004</t>
        </is>
      </c>
      <c r="O5" t="inlineStr">
        <is>
          <t>PAU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TAREA</t>
        </is>
      </c>
      <c r="C1" s="1" t="inlineStr">
        <is>
          <t>DETALLE</t>
        </is>
      </c>
      <c r="D1" s="1" t="inlineStr">
        <is>
          <t>RESPONSABLE</t>
        </is>
      </c>
      <c r="E1" s="1" t="inlineStr">
        <is>
          <t>ESTADO</t>
        </is>
      </c>
      <c r="F1" s="1" t="inlineStr">
        <is>
          <t>PRIORIDAD</t>
        </is>
      </c>
      <c r="G1" s="1" t="inlineStr"/>
      <c r="H1" s="1" t="inlineStr">
        <is>
          <t>RESPUESTA</t>
        </is>
      </c>
    </row>
    <row r="2">
      <c r="A2" t="n">
        <v>1</v>
      </c>
      <c r="B2" t="inlineStr">
        <is>
          <t>Actualizar STOCK INICIAL</t>
        </is>
      </c>
      <c r="C2" t="inlineStr">
        <is>
          <t>Hacer conteo físico y ajustar columna E en STOCK</t>
        </is>
      </c>
      <c r="D2" t="inlineStr">
        <is>
          <t>Sol</t>
        </is>
      </c>
      <c r="E2" t="inlineStr">
        <is>
          <t>PENDIENTE</t>
        </is>
      </c>
      <c r="F2" t="inlineStr">
        <is>
          <t>ALTA</t>
        </is>
      </c>
    </row>
    <row r="3">
      <c r="A3" t="n">
        <v>2</v>
      </c>
      <c r="B3" t="inlineStr">
        <is>
          <t>Agregar mes nuevo</t>
        </is>
      </c>
      <c r="C3" t="inlineStr">
        <is>
          <t>Correr: python arde_tools.py add_month 'FEB 26'</t>
        </is>
      </c>
      <c r="D3" t="inlineStr">
        <is>
          <t>Agustín</t>
        </is>
      </c>
      <c r="E3" t="inlineStr">
        <is>
          <t>LISTO</t>
        </is>
      </c>
      <c r="F3" t="inlineStr">
        <is>
          <t>MEDIA</t>
        </is>
      </c>
      <c r="H3" t="inlineStr">
        <is>
          <t>Hoja creada y lista.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CERA</t>
        </is>
      </c>
      <c r="C1" s="1" t="inlineStr">
        <is>
          <t>CLIENTA</t>
        </is>
      </c>
      <c r="D1" s="1" t="inlineStr">
        <is>
          <t>CELU</t>
        </is>
      </c>
      <c r="E1" s="1" t="inlineStr">
        <is>
          <t>PRECIO</t>
        </is>
      </c>
      <c r="F1" s="1" t="inlineStr">
        <is>
          <t>ESTADO</t>
        </is>
      </c>
    </row>
    <row r="2">
      <c r="A2" t="inlineStr">
        <is>
          <t>Anillo talle 18 modelo LUNA ALPACA</t>
        </is>
      </c>
      <c r="B2" t="inlineStr">
        <is>
          <t>POR HACER</t>
        </is>
      </c>
      <c r="C2" t="inlineStr">
        <is>
          <t>Valentina Sosa</t>
        </is>
      </c>
      <c r="D2" t="inlineStr">
        <is>
          <t>1155550099</t>
        </is>
      </c>
      <c r="E2" t="n">
        <v>3000</v>
      </c>
      <c r="F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2026-07-30T21:14:27Z</dcterms:created>
  <dcterms:modified xsi:type="dcterms:W3CDTF">2026-07-30T21:14:27Z</dcterms:modified>
</cp:coreProperties>
</file>